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Diploma\Diploma\master\Diploma\excel\"/>
    </mc:Choice>
  </mc:AlternateContent>
  <xr:revisionPtr revIDLastSave="0" documentId="8_{2930BD4D-7A45-4D01-B006-237CEABE8913}" xr6:coauthVersionLast="47" xr6:coauthVersionMax="47" xr10:uidLastSave="{00000000-0000-0000-0000-000000000000}"/>
  <bookViews>
    <workbookView xWindow="38280" yWindow="-120" windowWidth="29040" windowHeight="15720" xr2:uid="{B0114DEA-221E-4557-A6E1-1CFC6CD506AA}"/>
  </bookViews>
  <sheets>
    <sheet name="results (3)" sheetId="2" r:id="rId1"/>
  </sheets>
  <definedNames>
    <definedName name="ExternalData_1" localSheetId="0" hidden="1">'results (3)'!$A$1:$H$18</definedName>
  </definedNames>
  <calcPr calcId="191029" refMode="R1C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2" l="1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6666E-005E-4B18-8613-77A93D579223}" keepAlive="1" name="Запрос — results (2)" description="Соединение с запросом &quot;results (2)&quot; в книге." type="5" refreshedVersion="8" background="1" saveData="1">
    <dbPr connection="Provider=Microsoft.Mashup.OleDb.1;Data Source=$Workbook$;Location=&quot;results (2)&quot;;Extended Properties=&quot;&quot;" command="SELECT * FROM [results (2)]"/>
  </connection>
</connections>
</file>

<file path=xl/sharedStrings.xml><?xml version="1.0" encoding="utf-8"?>
<sst xmlns="http://schemas.openxmlformats.org/spreadsheetml/2006/main" count="131" uniqueCount="99">
  <si>
    <t>Кодек</t>
  </si>
  <si>
    <t>CRF</t>
  </si>
  <si>
    <t>Размер (байт)</t>
  </si>
  <si>
    <t>Размер (читаемый)</t>
  </si>
  <si>
    <t>Длительность (сек)</t>
  </si>
  <si>
    <t>Средний битрейт (кбит/с)</t>
  </si>
  <si>
    <t>PSNR</t>
  </si>
  <si>
    <t>SSIM</t>
  </si>
  <si>
    <t>H.264</t>
  </si>
  <si>
    <t>122.90 MB</t>
  </si>
  <si>
    <t>228.669</t>
  </si>
  <si>
    <t>4508.418</t>
  </si>
  <si>
    <t>51.324903</t>
  </si>
  <si>
    <t>0.995914</t>
  </si>
  <si>
    <t>75.54 MB</t>
  </si>
  <si>
    <t>2771.245</t>
  </si>
  <si>
    <t>48.957715</t>
  </si>
  <si>
    <t>0.993940</t>
  </si>
  <si>
    <t>47.69 MB</t>
  </si>
  <si>
    <t>1749.539</t>
  </si>
  <si>
    <t>46.338257</t>
  </si>
  <si>
    <t>0.990536</t>
  </si>
  <si>
    <t>30.90 MB</t>
  </si>
  <si>
    <t>1133.404</t>
  </si>
  <si>
    <t>43.592087</t>
  </si>
  <si>
    <t>0.985028</t>
  </si>
  <si>
    <t>H.265</t>
  </si>
  <si>
    <t>96.97 MB</t>
  </si>
  <si>
    <t>3557.232</t>
  </si>
  <si>
    <t>50.802732</t>
  </si>
  <si>
    <t>0.995152</t>
  </si>
  <si>
    <t>52.03 MB</t>
  </si>
  <si>
    <t>1908.567</t>
  </si>
  <si>
    <t>48.486837</t>
  </si>
  <si>
    <t>0.992839</t>
  </si>
  <si>
    <t>29.05 MB</t>
  </si>
  <si>
    <t>1065.563</t>
  </si>
  <si>
    <t>46.157915</t>
  </si>
  <si>
    <t>0.989631</t>
  </si>
  <si>
    <t>17.50 MB</t>
  </si>
  <si>
    <t>641.881</t>
  </si>
  <si>
    <t>43.662501</t>
  </si>
  <si>
    <t>0.984834</t>
  </si>
  <si>
    <t>VP8</t>
  </si>
  <si>
    <t>135.05 MB</t>
  </si>
  <si>
    <t>228.653</t>
  </si>
  <si>
    <t>4954.468</t>
  </si>
  <si>
    <t>47.612439</t>
  </si>
  <si>
    <t>0.991913</t>
  </si>
  <si>
    <t>114.81 MB</t>
  </si>
  <si>
    <t>4212.212</t>
  </si>
  <si>
    <t>47.150637</t>
  </si>
  <si>
    <t>0.991178</t>
  </si>
  <si>
    <t>93.78 MB</t>
  </si>
  <si>
    <t>3440.462</t>
  </si>
  <si>
    <t>46.507647</t>
  </si>
  <si>
    <t>0.989996</t>
  </si>
  <si>
    <t>72.61 MB</t>
  </si>
  <si>
    <t>2663.785</t>
  </si>
  <si>
    <t>45.592378</t>
  </si>
  <si>
    <t>0.988340</t>
  </si>
  <si>
    <t>VP9</t>
  </si>
  <si>
    <t>105.90 MB</t>
  </si>
  <si>
    <t>3885.340</t>
  </si>
  <si>
    <t>50.649724</t>
  </si>
  <si>
    <t>0.994733</t>
  </si>
  <si>
    <t>82.48 MB</t>
  </si>
  <si>
    <t>3025.888</t>
  </si>
  <si>
    <t>49.801680</t>
  </si>
  <si>
    <t>0.993915</t>
  </si>
  <si>
    <t>58.87 MB</t>
  </si>
  <si>
    <t>2159.913</t>
  </si>
  <si>
    <t>48.646723</t>
  </si>
  <si>
    <t>0.992650</t>
  </si>
  <si>
    <t>42.18 MB</t>
  </si>
  <si>
    <t>1547.461</t>
  </si>
  <si>
    <t>47.446265</t>
  </si>
  <si>
    <t>0.991126</t>
  </si>
  <si>
    <t>Коэф. сжатия</t>
  </si>
  <si>
    <t>-</t>
  </si>
  <si>
    <t>3620.110</t>
  </si>
  <si>
    <t>98.67 MB</t>
  </si>
  <si>
    <t>Время</t>
  </si>
  <si>
    <t>42.134</t>
  </si>
  <si>
    <t>35.526</t>
  </si>
  <si>
    <t>32.769</t>
  </si>
  <si>
    <t>29.140</t>
  </si>
  <si>
    <t xml:space="preserve">	98.502</t>
  </si>
  <si>
    <t>86.340</t>
  </si>
  <si>
    <t>76.894</t>
  </si>
  <si>
    <t>68.179</t>
  </si>
  <si>
    <t>70.198</t>
  </si>
  <si>
    <t>349.423</t>
  </si>
  <si>
    <t>324.919</t>
  </si>
  <si>
    <t>299.939</t>
  </si>
  <si>
    <t>268.506</t>
  </si>
  <si>
    <t>63.285</t>
  </si>
  <si>
    <t>60.689</t>
  </si>
  <si>
    <t>57.234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</si>
</sst>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D8FC87-DC5F-4E67-90E5-4060C949FBC5}" autoFormatId="16" applyNumberFormats="0" applyBorderFormats="0" applyFontFormats="0" applyPatternFormats="0" applyAlignmentFormats="0" applyWidthHeightFormats="0">
  <queryTableRefresh nextId="15" unboundColumnsRight="2">
    <queryTableFields count="10">
      <queryTableField id="1" name="Кодек" tableColumnId="1"/>
      <queryTableField id="2" name="CRF" tableColumnId="2"/>
      <queryTableField id="4" name="Размер (байт)" tableColumnId="4"/>
      <queryTableField id="5" name="Размер (читаемый)" tableColumnId="5"/>
      <queryTableField id="6" name="Длительность (сек)" tableColumnId="6"/>
      <queryTableField id="7" name="Средний битрейт (кбит/с)" tableColumnId="7"/>
      <queryTableField id="8" name="PSNR" tableColumnId="8"/>
      <queryTableField id="9" name="SSIM" tableColumnId="9"/>
      <queryTableField id="13" dataBound="0" tableColumnId="13"/>
      <queryTableField id="14" dataBound="0" tableColumnId="14"/>
    </queryTableFields>
    <queryTableDeletedFields count="4">
      <deletedField name="Файл"/>
      <deletedField name="VMAF"/>
      <deletedField name="Успех"/>
      <deletedField name="Ошибка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E9120-64B8-4C49-A827-93B8ADF456F0}" name="results__2" displayName="results__2" ref="A1:J18" tableType="queryTable" totalsRowShown="0">
  <autoFilter ref="A1:J18" xr:uid="{C4CE9120-64B8-4C49-A827-93B8ADF456F0}"/>
  <tableColumns count="10">
    <tableColumn id="1" xr3:uid="{51922939-6A53-4A23-B0C0-FEB933023CDA}" uniqueName="1" name="Кодек" queryTableFieldId="1" dataDxfId="7"/>
    <tableColumn id="2" xr3:uid="{069B726E-E5C0-4699-BBA8-FFEC41929443}" uniqueName="2" name="CRF" queryTableFieldId="2"/>
    <tableColumn id="4" xr3:uid="{4FC4BAEC-ED1D-44B9-AD96-851B323E9D0D}" uniqueName="4" name="Размер (байт)" queryTableFieldId="4"/>
    <tableColumn id="5" xr3:uid="{4BE931EF-000F-43C5-8F85-F414D9D5039F}" uniqueName="5" name="Размер (читаемый)" queryTableFieldId="5" dataDxfId="6"/>
    <tableColumn id="6" xr3:uid="{662804BE-FD8D-4DFE-83EC-A850074639B1}" uniqueName="6" name="Длительность (сек)" queryTableFieldId="6" dataDxfId="5"/>
    <tableColumn id="7" xr3:uid="{5C1261F5-CF10-4BD7-AFF1-28F8D74AD45C}" uniqueName="7" name="Средний битрейт (кбит/с)" queryTableFieldId="7" dataDxfId="4"/>
    <tableColumn id="8" xr3:uid="{BDC96497-B6B5-4E53-8A0D-3E38B1D95C8C}" uniqueName="8" name="PSNR" queryTableFieldId="8" dataDxfId="3"/>
    <tableColumn id="9" xr3:uid="{385135F4-B986-44EE-B5B6-6ED5CC4972AD}" uniqueName="9" name="SSIM" queryTableFieldId="9" dataDxfId="2"/>
    <tableColumn id="13" xr3:uid="{6CE98F13-ECA7-41CA-A0DF-12B56AA88FC7}" uniqueName="13" name="Коэф. сжатия" queryTableFieldId="13" dataDxfId="1"/>
    <tableColumn id="14" xr3:uid="{4F6609CF-F109-4C06-B674-541CDEEC5403}" uniqueName="14" name="Время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62ED-E827-458C-BC7E-546FFD56E275}">
  <dimension ref="A1:J18"/>
  <sheetViews>
    <sheetView tabSelected="1" workbookViewId="0">
      <selection activeCell="E27" sqref="E27"/>
    </sheetView>
  </sheetViews>
  <sheetFormatPr defaultRowHeight="15" x14ac:dyDescent="0.25"/>
  <cols>
    <col min="1" max="1" width="9" bestFit="1" customWidth="1"/>
    <col min="2" max="2" width="6.5703125" bestFit="1" customWidth="1"/>
    <col min="3" max="3" width="16.28515625" bestFit="1" customWidth="1"/>
    <col min="4" max="4" width="21.7109375" bestFit="1" customWidth="1"/>
    <col min="5" max="5" width="21.28515625" bestFit="1" customWidth="1"/>
    <col min="6" max="6" width="27.42578125" bestFit="1" customWidth="1"/>
    <col min="7" max="7" width="9.5703125" bestFit="1" customWidth="1"/>
    <col min="8" max="8" width="8.5703125" bestFit="1" customWidth="1"/>
    <col min="9" max="9" width="15.5703125" bestFit="1" customWidth="1"/>
    <col min="10" max="10" width="9.28515625" bestFit="1" customWidth="1"/>
    <col min="11" max="11" width="8.5703125" bestFit="1" customWidth="1"/>
    <col min="12" max="12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78</v>
      </c>
      <c r="J1" t="s">
        <v>82</v>
      </c>
    </row>
    <row r="2" spans="1:10" x14ac:dyDescent="0.25">
      <c r="A2" t="s">
        <v>79</v>
      </c>
      <c r="B2" s="1" t="s">
        <v>79</v>
      </c>
      <c r="C2">
        <v>103463719</v>
      </c>
      <c r="D2" t="s">
        <v>81</v>
      </c>
      <c r="E2" t="s">
        <v>10</v>
      </c>
      <c r="F2" t="s">
        <v>80</v>
      </c>
      <c r="G2" t="s">
        <v>79</v>
      </c>
      <c r="H2" t="s">
        <v>79</v>
      </c>
      <c r="I2" s="1" t="s">
        <v>79</v>
      </c>
      <c r="J2" t="s">
        <v>79</v>
      </c>
    </row>
    <row r="3" spans="1:10" x14ac:dyDescent="0.25">
      <c r="A3" t="s">
        <v>8</v>
      </c>
      <c r="B3">
        <v>18</v>
      </c>
      <c r="C3">
        <v>128866917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s="2">
        <f>C2/results__2[[#This Row],[Размер (байт)]]</f>
        <v>0.80287261780306263</v>
      </c>
      <c r="J3" t="s">
        <v>83</v>
      </c>
    </row>
    <row r="4" spans="1:10" x14ac:dyDescent="0.25">
      <c r="A4" t="s">
        <v>8</v>
      </c>
      <c r="B4">
        <v>23</v>
      </c>
      <c r="C4">
        <v>79212231</v>
      </c>
      <c r="D4" t="s">
        <v>14</v>
      </c>
      <c r="E4" t="s">
        <v>10</v>
      </c>
      <c r="F4" t="s">
        <v>15</v>
      </c>
      <c r="G4" t="s">
        <v>16</v>
      </c>
      <c r="H4" t="s">
        <v>17</v>
      </c>
      <c r="I4" s="2">
        <f>C2/results__2[[#This Row],[Размер (байт)]]</f>
        <v>1.3061583759710038</v>
      </c>
      <c r="J4" t="s">
        <v>84</v>
      </c>
    </row>
    <row r="5" spans="1:10" x14ac:dyDescent="0.25">
      <c r="A5" t="s">
        <v>8</v>
      </c>
      <c r="B5">
        <v>28</v>
      </c>
      <c r="C5">
        <v>50008161</v>
      </c>
      <c r="D5" t="s">
        <v>18</v>
      </c>
      <c r="E5" t="s">
        <v>10</v>
      </c>
      <c r="F5" t="s">
        <v>19</v>
      </c>
      <c r="G5" t="s">
        <v>20</v>
      </c>
      <c r="H5" t="s">
        <v>21</v>
      </c>
      <c r="I5" s="2">
        <f>C2/results__2[[#This Row],[Размер (байт)]]</f>
        <v>2.0689366881537596</v>
      </c>
      <c r="J5" t="s">
        <v>85</v>
      </c>
    </row>
    <row r="6" spans="1:10" x14ac:dyDescent="0.25">
      <c r="A6" t="s">
        <v>8</v>
      </c>
      <c r="B6">
        <v>33</v>
      </c>
      <c r="C6">
        <v>32396800</v>
      </c>
      <c r="D6" t="s">
        <v>22</v>
      </c>
      <c r="E6" t="s">
        <v>10</v>
      </c>
      <c r="F6" t="s">
        <v>23</v>
      </c>
      <c r="G6" t="s">
        <v>24</v>
      </c>
      <c r="H6" t="s">
        <v>25</v>
      </c>
      <c r="I6" s="2">
        <f>C2/results__2[[#This Row],[Размер (байт)]]</f>
        <v>3.1936400817364676</v>
      </c>
      <c r="J6" t="s">
        <v>86</v>
      </c>
    </row>
    <row r="7" spans="1:10" x14ac:dyDescent="0.25">
      <c r="A7" t="s">
        <v>26</v>
      </c>
      <c r="B7">
        <v>18</v>
      </c>
      <c r="C7">
        <v>101678592</v>
      </c>
      <c r="D7" t="s">
        <v>27</v>
      </c>
      <c r="E7" t="s">
        <v>10</v>
      </c>
      <c r="F7" t="s">
        <v>28</v>
      </c>
      <c r="G7" t="s">
        <v>29</v>
      </c>
      <c r="H7" t="s">
        <v>30</v>
      </c>
      <c r="I7" s="2">
        <f>C2/results__2[[#This Row],[Размер (байт)]]</f>
        <v>1.0175565668729953</v>
      </c>
      <c r="J7" t="s">
        <v>87</v>
      </c>
    </row>
    <row r="8" spans="1:10" x14ac:dyDescent="0.25">
      <c r="A8" t="s">
        <v>26</v>
      </c>
      <c r="B8">
        <v>23</v>
      </c>
      <c r="C8">
        <v>54553763</v>
      </c>
      <c r="D8" t="s">
        <v>31</v>
      </c>
      <c r="E8" t="s">
        <v>10</v>
      </c>
      <c r="F8" t="s">
        <v>32</v>
      </c>
      <c r="G8" t="s">
        <v>33</v>
      </c>
      <c r="H8" t="s">
        <v>34</v>
      </c>
      <c r="I8" s="2">
        <f>C2/results__2[[#This Row],[Размер (байт)]]</f>
        <v>1.8965459632912949</v>
      </c>
      <c r="J8" t="s">
        <v>88</v>
      </c>
    </row>
    <row r="9" spans="1:10" x14ac:dyDescent="0.25">
      <c r="A9" t="s">
        <v>26</v>
      </c>
      <c r="B9">
        <v>28</v>
      </c>
      <c r="C9">
        <v>30457658</v>
      </c>
      <c r="D9" t="s">
        <v>35</v>
      </c>
      <c r="E9" t="s">
        <v>10</v>
      </c>
      <c r="F9" t="s">
        <v>36</v>
      </c>
      <c r="G9" t="s">
        <v>37</v>
      </c>
      <c r="H9" t="s">
        <v>38</v>
      </c>
      <c r="I9" s="2">
        <f>C2/results__2[[#This Row],[Размер (байт)]]</f>
        <v>3.3969689659001356</v>
      </c>
      <c r="J9" t="s">
        <v>89</v>
      </c>
    </row>
    <row r="10" spans="1:10" x14ac:dyDescent="0.25">
      <c r="A10" t="s">
        <v>26</v>
      </c>
      <c r="B10">
        <v>33</v>
      </c>
      <c r="C10">
        <v>18347279</v>
      </c>
      <c r="D10" t="s">
        <v>39</v>
      </c>
      <c r="E10" t="s">
        <v>10</v>
      </c>
      <c r="F10" t="s">
        <v>40</v>
      </c>
      <c r="G10" t="s">
        <v>41</v>
      </c>
      <c r="H10" t="s">
        <v>42</v>
      </c>
      <c r="I10" s="2">
        <f>C2/results__2[[#This Row],[Размер (байт)]]</f>
        <v>5.6391860068187771</v>
      </c>
      <c r="J10" t="s">
        <v>90</v>
      </c>
    </row>
    <row r="11" spans="1:10" x14ac:dyDescent="0.25">
      <c r="A11" t="s">
        <v>43</v>
      </c>
      <c r="B11">
        <v>18</v>
      </c>
      <c r="C11">
        <v>141606746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s="2">
        <f>C2/results__2[[#This Row],[Размер (байт)]]</f>
        <v>0.73064117298479547</v>
      </c>
      <c r="J11" t="s">
        <v>91</v>
      </c>
    </row>
    <row r="12" spans="1:10" x14ac:dyDescent="0.25">
      <c r="A12" t="s">
        <v>43</v>
      </c>
      <c r="B12">
        <v>23</v>
      </c>
      <c r="C12">
        <v>120391870</v>
      </c>
      <c r="D12" t="s">
        <v>49</v>
      </c>
      <c r="E12" t="s">
        <v>45</v>
      </c>
      <c r="F12" t="s">
        <v>50</v>
      </c>
      <c r="G12" t="s">
        <v>51</v>
      </c>
      <c r="H12" t="s">
        <v>52</v>
      </c>
      <c r="I12" s="2">
        <f>C2/results__2[[#This Row],[Размер (байт)]]</f>
        <v>0.85939124460812844</v>
      </c>
      <c r="J12" t="s">
        <v>96</v>
      </c>
    </row>
    <row r="13" spans="1:10" x14ac:dyDescent="0.25">
      <c r="A13" t="s">
        <v>43</v>
      </c>
      <c r="B13">
        <v>28</v>
      </c>
      <c r="C13">
        <v>98333989</v>
      </c>
      <c r="D13" t="s">
        <v>53</v>
      </c>
      <c r="E13" t="s">
        <v>45</v>
      </c>
      <c r="F13" t="s">
        <v>54</v>
      </c>
      <c r="G13" t="s">
        <v>55</v>
      </c>
      <c r="H13" t="s">
        <v>56</v>
      </c>
      <c r="I13" s="2">
        <f>C2/results__2[[#This Row],[Размер (байт)]]</f>
        <v>1.0521663979277807</v>
      </c>
      <c r="J13" t="s">
        <v>97</v>
      </c>
    </row>
    <row r="14" spans="1:10" x14ac:dyDescent="0.25">
      <c r="A14" t="s">
        <v>43</v>
      </c>
      <c r="B14">
        <v>33</v>
      </c>
      <c r="C14">
        <v>76135302</v>
      </c>
      <c r="D14" t="s">
        <v>57</v>
      </c>
      <c r="E14" t="s">
        <v>45</v>
      </c>
      <c r="F14" t="s">
        <v>58</v>
      </c>
      <c r="G14" t="s">
        <v>59</v>
      </c>
      <c r="H14" t="s">
        <v>60</v>
      </c>
      <c r="I14" s="2">
        <f>C2/results__2[[#This Row],[Размер (байт)]]</f>
        <v>1.3589454074799625</v>
      </c>
      <c r="J14" t="s">
        <v>98</v>
      </c>
    </row>
    <row r="15" spans="1:10" x14ac:dyDescent="0.25">
      <c r="A15" t="s">
        <v>61</v>
      </c>
      <c r="B15">
        <v>18</v>
      </c>
      <c r="C15">
        <v>111049328</v>
      </c>
      <c r="D15" t="s">
        <v>62</v>
      </c>
      <c r="E15" t="s">
        <v>45</v>
      </c>
      <c r="F15" t="s">
        <v>63</v>
      </c>
      <c r="G15" t="s">
        <v>64</v>
      </c>
      <c r="H15" t="s">
        <v>65</v>
      </c>
      <c r="I15" s="2">
        <f>C2/results__2[[#This Row],[Размер (байт)]]</f>
        <v>0.93169153621532941</v>
      </c>
      <c r="J15" t="s">
        <v>92</v>
      </c>
    </row>
    <row r="16" spans="1:10" x14ac:dyDescent="0.25">
      <c r="A16" t="s">
        <v>61</v>
      </c>
      <c r="B16">
        <v>23</v>
      </c>
      <c r="C16">
        <v>86484809</v>
      </c>
      <c r="D16" t="s">
        <v>66</v>
      </c>
      <c r="E16" t="s">
        <v>45</v>
      </c>
      <c r="F16" t="s">
        <v>67</v>
      </c>
      <c r="G16" t="s">
        <v>68</v>
      </c>
      <c r="H16" t="s">
        <v>69</v>
      </c>
      <c r="I16" s="2">
        <f>C2/results__2[[#This Row],[Размер (байт)]]</f>
        <v>1.1963224547330618</v>
      </c>
      <c r="J16" t="s">
        <v>93</v>
      </c>
    </row>
    <row r="17" spans="1:10" x14ac:dyDescent="0.25">
      <c r="A17" t="s">
        <v>61</v>
      </c>
      <c r="B17">
        <v>28</v>
      </c>
      <c r="C17">
        <v>61733833</v>
      </c>
      <c r="D17" t="s">
        <v>70</v>
      </c>
      <c r="E17" t="s">
        <v>45</v>
      </c>
      <c r="F17" t="s">
        <v>71</v>
      </c>
      <c r="G17" t="s">
        <v>72</v>
      </c>
      <c r="H17" t="s">
        <v>73</v>
      </c>
      <c r="I17" s="2">
        <f>C2/results__2[[#This Row],[Размер (байт)]]</f>
        <v>1.6759646043685641</v>
      </c>
      <c r="J17" t="s">
        <v>94</v>
      </c>
    </row>
    <row r="18" spans="1:10" x14ac:dyDescent="0.25">
      <c r="A18" t="s">
        <v>61</v>
      </c>
      <c r="B18">
        <v>33</v>
      </c>
      <c r="C18">
        <v>44228949</v>
      </c>
      <c r="D18" t="s">
        <v>74</v>
      </c>
      <c r="E18" t="s">
        <v>45</v>
      </c>
      <c r="F18" t="s">
        <v>75</v>
      </c>
      <c r="G18" t="s">
        <v>76</v>
      </c>
      <c r="H18" t="s">
        <v>77</v>
      </c>
      <c r="I18" s="2">
        <f>C2/results__2[[#This Row],[Размер (байт)]]</f>
        <v>2.3392760022400712</v>
      </c>
      <c r="J18" t="s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09AEA6-E940-4718-AB16-DA16FDF20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relax_fm</dc:creator>
  <cp:lastModifiedBy>artyom Onyushev</cp:lastModifiedBy>
  <dcterms:created xsi:type="dcterms:W3CDTF">2026-05-06T11:38:03Z</dcterms:created>
  <dcterms:modified xsi:type="dcterms:W3CDTF">2026-05-09T12:16:02Z</dcterms:modified>
</cp:coreProperties>
</file>